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ar\Downloads\"/>
    </mc:Choice>
  </mc:AlternateContent>
  <xr:revisionPtr revIDLastSave="0" documentId="8_{42A76154-3171-4372-9A8D-A1BE239083F4}" xr6:coauthVersionLast="47" xr6:coauthVersionMax="47" xr10:uidLastSave="{00000000-0000-0000-0000-000000000000}"/>
  <bookViews>
    <workbookView xWindow="-110" yWindow="-110" windowWidth="19420" windowHeight="10300" xr2:uid="{5A0C74D1-18C5-4EEA-BEDC-7D70D622F94B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<sst xmlns="http://schemas.openxmlformats.org/spreadsheetml/2006/main" count="209" uniqueCount="77">
  <si>
    <t>id</t>
  </si>
  <si>
    <t>TYPE DE NC CFA (tirage de cable )</t>
  </si>
  <si>
    <t>Date de création</t>
  </si>
  <si>
    <t>Date de modification</t>
  </si>
  <si>
    <t>Date prévue de réalisation</t>
  </si>
  <si>
    <t>Description NC</t>
  </si>
  <si>
    <t>Correction &amp; AC</t>
  </si>
  <si>
    <t>Criticité</t>
  </si>
  <si>
    <t>Cheminement du câble (conforme au plan) / Vérification des passages de câbles</t>
  </si>
  <si>
    <t>29/10/2025 11:25:59</t>
  </si>
  <si>
    <t>2025-10-29 11:25:59</t>
  </si>
  <si>
    <t>2025-11-07</t>
  </si>
  <si>
    <t>Manque des recettes F.O et Cat7, et le dossier technique TQC</t>
  </si>
  <si>
    <t>Fournir les documents</t>
  </si>
  <si>
    <t>Élevée</t>
  </si>
  <si>
    <t>Cable (Marque, Type, Etat)</t>
  </si>
  <si>
    <t>2025-11-04 15:39:59</t>
  </si>
  <si>
    <t>Disponibilité des documents (listes de câbles)</t>
  </si>
  <si>
    <t>2025-11-04 15:40:07</t>
  </si>
  <si>
    <t>Disponibilité de matériel (tourets, galets, elc.)</t>
  </si>
  <si>
    <t>29/10/2025 11:19:24</t>
  </si>
  <si>
    <t>2025-10-29 11:19:24</t>
  </si>
  <si>
    <t>2025-10-07</t>
  </si>
  <si>
    <t>Manque des recettes, porte documents et plan TQC</t>
  </si>
  <si>
    <t>Entamer la mise en service et fournir les documents</t>
  </si>
  <si>
    <t>Faible</t>
  </si>
  <si>
    <t>Cables tres suivant specications eft istes de cable</t>
  </si>
  <si>
    <t>2025-10-30 14:25:13</t>
  </si>
  <si>
    <t>Moyenne</t>
  </si>
  <si>
    <t>Conformité des rayons de courbure</t>
  </si>
  <si>
    <t>2025-10-29 16:37:59</t>
  </si>
  <si>
    <t>Critique</t>
  </si>
  <si>
    <t>Fixation &amp; rangement des cables dans les caniveaux</t>
  </si>
  <si>
    <t>29/10/2025 11:32:53</t>
  </si>
  <si>
    <t>2025-11-04 15:39:45</t>
  </si>
  <si>
    <t>2025-11-14</t>
  </si>
  <si>
    <t>Manque du dossier technique à jour. Quelque départs sont dégradés</t>
  </si>
  <si>
    <t>Fournir le dossier technique à jour et traiter les dégradations</t>
  </si>
  <si>
    <t>Attaches de cables conforme aux spécifications</t>
  </si>
  <si>
    <t>2025-11-04 15:39:35</t>
  </si>
  <si>
    <t>Repérage / Identification des câbles</t>
  </si>
  <si>
    <t>2025-10-29 11:32:53</t>
  </si>
  <si>
    <t>Mesure de la longueur tirée</t>
  </si>
  <si>
    <t>15/08/2025 14:43:02</t>
  </si>
  <si>
    <t>2025-09-15 09:54:07</t>
  </si>
  <si>
    <t>2025-08-18</t>
  </si>
  <si>
    <t>Camera N17-TOU-CDI3 non affiché</t>
  </si>
  <si>
    <t>changement du pleug de camera</t>
  </si>
  <si>
    <t>Verticabon de la gaine des câbles</t>
  </si>
  <si>
    <t>2025-08-15 14:43:02</t>
  </si>
  <si>
    <t>Rebouchage et finition</t>
  </si>
  <si>
    <t>13/08/2025 10:09:37</t>
  </si>
  <si>
    <t>2025-08-13 10:09:37</t>
  </si>
  <si>
    <t>2025-08-16</t>
  </si>
  <si>
    <t>Des coupure sur l'enregistrement du camera N02-TOU-CDI7</t>
  </si>
  <si>
    <t>reconfiguration du camera</t>
  </si>
  <si>
    <t>Section de câble</t>
  </si>
  <si>
    <t>2025-09-15 10:08:39</t>
  </si>
  <si>
    <t>TYPE DE NC CFA ( tubage )</t>
  </si>
  <si>
    <t xml:space="preserve">Elément à verifier </t>
  </si>
  <si>
    <t>Tubage dans les voiles en béton</t>
  </si>
  <si>
    <t>Marque des tubes (Isogris/Tube orange)</t>
  </si>
  <si>
    <t>Cotations des foyers par rapport au murs</t>
  </si>
  <si>
    <t>Altimétrie des foyers par rapport au Sol</t>
  </si>
  <si>
    <t>Diamètre de tubage</t>
  </si>
  <si>
    <t>Tubage dans les murs en maconnerie</t>
  </si>
  <si>
    <t>Tubage dans les cloisons en vitre/BA13</t>
  </si>
  <si>
    <t>Tubage dans le sol (boites au sol)</t>
  </si>
  <si>
    <t>13/08/2025 10:09:38</t>
  </si>
  <si>
    <t>2025-08-17</t>
  </si>
  <si>
    <t>Des coupure sur l'enregistrement du camera N02-TOU-CDI8</t>
  </si>
  <si>
    <t>13/08/2025 10:09:39</t>
  </si>
  <si>
    <t>Des coupure sur l'enregistrement du camera N02-TOU-CDI9</t>
  </si>
  <si>
    <t>13/08/2025 10:09:40</t>
  </si>
  <si>
    <t>2025-08-19</t>
  </si>
  <si>
    <t>Des coupure sur l'enregistrement du camera N02-TOU-CDI10</t>
  </si>
  <si>
    <t xml:space="preserve">durée de réalisation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</si>
</sst>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83CCEB"/>
      </patternFill>
    </fill>
    <fill>
      <patternFill patternType="solid">
        <fgColor rgb="FFFFFF66"/>
        <bgColor rgb="FF00B050"/>
      </patternFill>
    </fill>
    <fill>
      <patternFill patternType="solid">
        <fgColor theme="5"/>
        <bgColor rgb="FF83CCEB"/>
      </patternFill>
    </fill>
    <fill>
      <patternFill patternType="solid">
        <fgColor rgb="FFFF0000"/>
        <bgColor rgb="FF83CCEB"/>
      </patternFill>
    </fill>
    <fill>
      <patternFill patternType="solid">
        <fgColor theme="9" tint="0.39997558519241921"/>
        <bgColor rgb="FF83CCEB"/>
      </patternFill>
    </fill>
    <fill>
      <patternFill patternType="solid">
        <fgColor rgb="FFFFFF66"/>
        <bgColor rgb="FFE97132"/>
      </patternFill>
    </fill>
    <fill>
      <patternFill patternType="solid">
        <fgColor rgb="FFFFFF66"/>
        <bgColor rgb="FF782170"/>
      </patternFill>
    </fill>
    <fill>
      <patternFill patternType="solid">
        <fgColor rgb="FFFFFF66"/>
        <bgColor rgb="FFA6A6A6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rgb="FF83CCEB"/>
      </patternFill>
    </fill>
    <fill>
      <patternFill patternType="solid">
        <fgColor rgb="FFC00000"/>
        <bgColor rgb="FF83CCE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rgb="FF00B050"/>
      </patternFill>
    </fill>
    <fill>
      <patternFill patternType="solid">
        <fgColor rgb="FF83CCEB"/>
        <bgColor rgb="FF83CCEB"/>
      </patternFill>
    </fill>
    <fill>
      <patternFill patternType="solid">
        <fgColor theme="0" tint="-4.9989318521683403E-2"/>
        <bgColor rgb="FFE97132"/>
      </patternFill>
    </fill>
    <fill>
      <patternFill patternType="solid">
        <fgColor theme="0" tint="-4.9989318521683403E-2"/>
        <bgColor rgb="FF782170"/>
      </patternFill>
    </fill>
    <fill>
      <patternFill patternType="solid">
        <fgColor theme="0" tint="-4.9989318521683403E-2"/>
        <bgColor rgb="FFA6A6A6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1" xfId="0" applyFill="1" applyBorder="1"/>
    <xf numFmtId="164" fontId="2" fillId="0" borderId="0" xfId="0" applyNumberFormat="1" applyFont="1"/>
    <xf numFmtId="14" fontId="2" fillId="0" borderId="0" xfId="0" applyNumberFormat="1" applyFont="1"/>
    <xf numFmtId="0" fontId="2" fillId="3" borderId="0" xfId="0" applyFont="1" applyFill="1"/>
    <xf numFmtId="0" fontId="2" fillId="0" borderId="0" xfId="0" applyFont="1"/>
    <xf numFmtId="0" fontId="1" fillId="4" borderId="2" xfId="0" applyFont="1" applyFill="1" applyBorder="1"/>
    <xf numFmtId="0" fontId="2" fillId="5" borderId="1" xfId="0" applyFont="1" applyFill="1" applyBorder="1" applyAlignment="1">
      <alignment vertical="center"/>
    </xf>
    <xf numFmtId="164" fontId="2" fillId="6" borderId="2" xfId="0" applyNumberFormat="1" applyFont="1" applyFill="1" applyBorder="1"/>
    <xf numFmtId="14" fontId="2" fillId="6" borderId="2" xfId="0" applyNumberFormat="1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3" borderId="2" xfId="0" applyFont="1" applyFill="1" applyBorder="1"/>
    <xf numFmtId="0" fontId="2" fillId="14" borderId="2" xfId="0" applyFont="1" applyFill="1" applyBorder="1"/>
    <xf numFmtId="0" fontId="0" fillId="15" borderId="1" xfId="0" applyFill="1" applyBorder="1"/>
    <xf numFmtId="0" fontId="1" fillId="4" borderId="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/>
    </xf>
    <xf numFmtId="164" fontId="2" fillId="18" borderId="2" xfId="0" applyNumberFormat="1" applyFont="1" applyFill="1" applyBorder="1"/>
    <xf numFmtId="14" fontId="2" fillId="18" borderId="2" xfId="0" applyNumberFormat="1" applyFont="1" applyFill="1" applyBorder="1"/>
    <xf numFmtId="0" fontId="1" fillId="4" borderId="4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2" fillId="19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vertical="center"/>
    </xf>
    <xf numFmtId="0" fontId="3" fillId="24" borderId="7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B65E-9CC8-444C-8F44-2F27060837D4}">
  <dimension ref="A1:T17"/>
  <sheetViews>
    <sheetView tabSelected="1" topLeftCell="F2" workbookViewId="0">
      <selection activeCell="I5" sqref="I5"/>
    </sheetView>
  </sheetViews>
  <sheetFormatPr baseColWidth="10" defaultRowHeight="14.5" x14ac:dyDescent="0.35"/>
  <cols>
    <col min="1" max="1" width="10.7265625" customWidth="1"/>
    <col min="2" max="2" width="69.08984375" customWidth="1"/>
    <col min="3" max="3" width="20.1796875" customWidth="1"/>
    <col min="4" max="4" width="20.54296875" customWidth="1"/>
    <col min="5" max="5" width="15.81640625" customWidth="1"/>
    <col min="6" max="6" width="53.6328125" customWidth="1"/>
    <col min="7" max="7" width="54.36328125" customWidth="1"/>
    <col min="9" max="9" width="19.26953125" customWidth="1"/>
    <col min="10" max="10" width="6.54296875" customWidth="1"/>
    <col min="11" max="11" width="29.54296875" customWidth="1"/>
    <col min="12" max="12" width="12.453125" customWidth="1"/>
    <col min="13" max="13" width="35.7265625" customWidth="1"/>
    <col min="14" max="14" width="50.08984375" customWidth="1"/>
    <col min="15" max="15" width="22.7265625" customWidth="1"/>
    <col min="16" max="16" width="18.1796875" customWidth="1"/>
    <col min="17" max="17" width="66.36328125" customWidth="1"/>
    <col min="18" max="18" width="61.1796875" customWidth="1"/>
    <col min="20" max="20" width="18.54296875" customWidth="1"/>
  </cols>
  <sheetData>
    <row r="1" spans="1:20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t="s">
        <v>7</v>
      </c>
      <c r="I1" t="s">
        <v>76</v>
      </c>
      <c r="L1" s="1" t="s">
        <v>0</v>
      </c>
      <c r="M1" s="19" t="s">
        <v>58</v>
      </c>
      <c r="N1" s="19" t="s">
        <v>59</v>
      </c>
      <c r="O1" s="3" t="s">
        <v>2</v>
      </c>
      <c r="P1" s="4" t="s">
        <v>4</v>
      </c>
      <c r="Q1" s="5" t="s">
        <v>5</v>
      </c>
      <c r="R1" s="6" t="s">
        <v>6</v>
      </c>
      <c r="S1" t="s">
        <v>7</v>
      </c>
      <c r="T1" t="s">
        <v>76</v>
      </c>
    </row>
    <row r="2" spans="1:20" x14ac:dyDescent="0.35">
      <c r="A2" s="7">
        <v>1</v>
      </c>
      <c r="B2" s="8" t="s">
        <v>8</v>
      </c>
      <c r="C2" s="9" t="s">
        <v>9</v>
      </c>
      <c r="D2" s="9" t="s">
        <v>10</v>
      </c>
      <c r="E2" s="10" t="s">
        <v>11</v>
      </c>
      <c r="F2" s="11" t="s">
        <v>12</v>
      </c>
      <c r="G2" s="12" t="s">
        <v>13</v>
      </c>
      <c r="H2" s="11" t="s">
        <v>14</v>
      </c>
      <c r="I2" s="37">
        <f>ABS(E2-C2)*24</f>
        <v>204.56694444443565</v>
      </c>
      <c r="L2" s="20">
        <v>1</v>
      </c>
      <c r="M2" s="21" t="s">
        <v>60</v>
      </c>
      <c r="N2" s="22" t="s">
        <v>61</v>
      </c>
      <c r="O2" s="23" t="s">
        <v>9</v>
      </c>
      <c r="P2" s="24" t="s">
        <v>11</v>
      </c>
      <c r="Q2" s="11" t="s">
        <v>12</v>
      </c>
      <c r="R2" s="12" t="s">
        <v>13</v>
      </c>
      <c r="S2" s="11" t="s">
        <v>14</v>
      </c>
      <c r="T2" s="37">
        <f>ABS(P2-O2)*24</f>
        <v>204.56694444443565</v>
      </c>
    </row>
    <row r="3" spans="1:20" x14ac:dyDescent="0.35">
      <c r="A3" s="7">
        <f>A2+1</f>
        <v>2</v>
      </c>
      <c r="B3" s="13" t="s">
        <v>15</v>
      </c>
      <c r="C3" s="9" t="s">
        <v>9</v>
      </c>
      <c r="D3" s="9" t="s">
        <v>16</v>
      </c>
      <c r="E3" s="10" t="s">
        <v>11</v>
      </c>
      <c r="F3" s="11" t="s">
        <v>12</v>
      </c>
      <c r="G3" s="12" t="s">
        <v>13</v>
      </c>
      <c r="H3" s="11" t="s">
        <v>14</v>
      </c>
      <c r="I3" s="37">
        <f t="shared" ref="I3:I14" si="0">ABS(E3-C3)*24</f>
        <v>204.56694444443565</v>
      </c>
      <c r="L3" s="25"/>
      <c r="M3" s="26"/>
      <c r="N3" s="27" t="s">
        <v>62</v>
      </c>
      <c r="O3" s="23" t="s">
        <v>9</v>
      </c>
      <c r="P3" s="24" t="s">
        <v>11</v>
      </c>
      <c r="Q3" s="11" t="s">
        <v>12</v>
      </c>
      <c r="R3" s="12" t="s">
        <v>13</v>
      </c>
      <c r="S3" s="11" t="s">
        <v>14</v>
      </c>
      <c r="T3" s="37">
        <f t="shared" ref="T3:T17" si="1">ABS(P3-O3)*24</f>
        <v>204.56694444443565</v>
      </c>
    </row>
    <row r="4" spans="1:20" x14ac:dyDescent="0.35">
      <c r="A4" s="7">
        <f t="shared" ref="A4:A14" si="2">A3+1</f>
        <v>3</v>
      </c>
      <c r="B4" s="14" t="s">
        <v>17</v>
      </c>
      <c r="C4" s="9" t="s">
        <v>9</v>
      </c>
      <c r="D4" s="9" t="s">
        <v>18</v>
      </c>
      <c r="E4" s="10" t="s">
        <v>11</v>
      </c>
      <c r="F4" s="11" t="s">
        <v>12</v>
      </c>
      <c r="G4" s="12" t="s">
        <v>13</v>
      </c>
      <c r="H4" s="11" t="s">
        <v>14</v>
      </c>
      <c r="I4" s="37">
        <f t="shared" si="0"/>
        <v>204.56694444443565</v>
      </c>
      <c r="L4" s="25"/>
      <c r="M4" s="26"/>
      <c r="N4" s="28" t="s">
        <v>63</v>
      </c>
      <c r="O4" s="23" t="s">
        <v>9</v>
      </c>
      <c r="P4" s="24" t="s">
        <v>11</v>
      </c>
      <c r="Q4" s="11" t="s">
        <v>12</v>
      </c>
      <c r="R4" s="12" t="s">
        <v>13</v>
      </c>
      <c r="S4" s="11" t="s">
        <v>14</v>
      </c>
      <c r="T4" s="37">
        <f t="shared" si="1"/>
        <v>204.56694444443565</v>
      </c>
    </row>
    <row r="5" spans="1:20" ht="14.5" customHeight="1" x14ac:dyDescent="0.35">
      <c r="A5" s="7">
        <f t="shared" si="2"/>
        <v>4</v>
      </c>
      <c r="B5" s="15" t="s">
        <v>19</v>
      </c>
      <c r="C5" s="9" t="s">
        <v>20</v>
      </c>
      <c r="D5" s="9" t="s">
        <v>21</v>
      </c>
      <c r="E5" s="10" t="s">
        <v>22</v>
      </c>
      <c r="F5" s="11" t="s">
        <v>23</v>
      </c>
      <c r="G5" s="12" t="s">
        <v>24</v>
      </c>
      <c r="H5" s="12" t="s">
        <v>25</v>
      </c>
      <c r="I5" s="37">
        <f t="shared" si="0"/>
        <v>539.32333333336283</v>
      </c>
      <c r="L5" s="29"/>
      <c r="M5" s="26"/>
      <c r="N5" s="30" t="s">
        <v>64</v>
      </c>
      <c r="O5" s="23" t="s">
        <v>20</v>
      </c>
      <c r="P5" s="24" t="s">
        <v>22</v>
      </c>
      <c r="Q5" s="11" t="s">
        <v>23</v>
      </c>
      <c r="R5" s="12" t="s">
        <v>24</v>
      </c>
      <c r="S5" s="12" t="s">
        <v>25</v>
      </c>
      <c r="T5" s="37">
        <f t="shared" si="1"/>
        <v>539.32333333336283</v>
      </c>
    </row>
    <row r="6" spans="1:20" x14ac:dyDescent="0.35">
      <c r="A6" s="7">
        <f t="shared" si="2"/>
        <v>5</v>
      </c>
      <c r="B6" s="16" t="s">
        <v>26</v>
      </c>
      <c r="C6" s="9" t="s">
        <v>20</v>
      </c>
      <c r="D6" s="9" t="s">
        <v>27</v>
      </c>
      <c r="E6" s="10" t="s">
        <v>22</v>
      </c>
      <c r="F6" s="11" t="s">
        <v>23</v>
      </c>
      <c r="G6" s="12" t="s">
        <v>24</v>
      </c>
      <c r="H6" s="17" t="s">
        <v>28</v>
      </c>
      <c r="I6" s="37">
        <f t="shared" si="0"/>
        <v>539.32333333336283</v>
      </c>
      <c r="L6" s="20">
        <v>2</v>
      </c>
      <c r="M6" s="31" t="s">
        <v>65</v>
      </c>
      <c r="N6" s="22" t="s">
        <v>61</v>
      </c>
      <c r="O6" s="23" t="s">
        <v>20</v>
      </c>
      <c r="P6" s="24" t="s">
        <v>22</v>
      </c>
      <c r="Q6" s="11" t="s">
        <v>23</v>
      </c>
      <c r="R6" s="12" t="s">
        <v>24</v>
      </c>
      <c r="S6" s="17" t="s">
        <v>28</v>
      </c>
      <c r="T6" s="37">
        <f t="shared" si="1"/>
        <v>539.32333333336283</v>
      </c>
    </row>
    <row r="7" spans="1:20" x14ac:dyDescent="0.35">
      <c r="A7" s="7">
        <f t="shared" si="2"/>
        <v>6</v>
      </c>
      <c r="B7" s="16" t="s">
        <v>29</v>
      </c>
      <c r="C7" s="9" t="s">
        <v>20</v>
      </c>
      <c r="D7" s="9" t="s">
        <v>30</v>
      </c>
      <c r="E7" s="10" t="s">
        <v>22</v>
      </c>
      <c r="F7" s="11" t="s">
        <v>23</v>
      </c>
      <c r="G7" s="12" t="s">
        <v>24</v>
      </c>
      <c r="H7" s="18" t="s">
        <v>31</v>
      </c>
      <c r="I7" s="37">
        <f t="shared" si="0"/>
        <v>539.32333333336283</v>
      </c>
      <c r="L7" s="25"/>
      <c r="M7" s="32"/>
      <c r="N7" s="27" t="s">
        <v>62</v>
      </c>
      <c r="O7" s="23" t="s">
        <v>20</v>
      </c>
      <c r="P7" s="24" t="s">
        <v>22</v>
      </c>
      <c r="Q7" s="11" t="s">
        <v>23</v>
      </c>
      <c r="R7" s="12" t="s">
        <v>24</v>
      </c>
      <c r="S7" s="18" t="s">
        <v>31</v>
      </c>
      <c r="T7" s="37">
        <f t="shared" si="1"/>
        <v>539.32333333336283</v>
      </c>
    </row>
    <row r="8" spans="1:20" x14ac:dyDescent="0.35">
      <c r="A8" s="7">
        <f t="shared" si="2"/>
        <v>7</v>
      </c>
      <c r="B8" s="16" t="s">
        <v>32</v>
      </c>
      <c r="C8" s="9" t="s">
        <v>33</v>
      </c>
      <c r="D8" s="9" t="s">
        <v>34</v>
      </c>
      <c r="E8" s="10" t="s">
        <v>35</v>
      </c>
      <c r="F8" s="11" t="s">
        <v>36</v>
      </c>
      <c r="G8" s="12" t="s">
        <v>37</v>
      </c>
      <c r="H8" s="17" t="s">
        <v>28</v>
      </c>
      <c r="I8" s="37">
        <f t="shared" si="0"/>
        <v>372.45194444444496</v>
      </c>
      <c r="L8" s="25"/>
      <c r="M8" s="32"/>
      <c r="N8" s="28" t="s">
        <v>63</v>
      </c>
      <c r="O8" s="23" t="s">
        <v>33</v>
      </c>
      <c r="P8" s="24" t="s">
        <v>35</v>
      </c>
      <c r="Q8" s="11" t="s">
        <v>36</v>
      </c>
      <c r="R8" s="12" t="s">
        <v>37</v>
      </c>
      <c r="S8" s="17" t="s">
        <v>28</v>
      </c>
      <c r="T8" s="37">
        <f t="shared" si="1"/>
        <v>372.45194444444496</v>
      </c>
    </row>
    <row r="9" spans="1:20" ht="14.5" customHeight="1" x14ac:dyDescent="0.35">
      <c r="A9" s="7">
        <f t="shared" si="2"/>
        <v>8</v>
      </c>
      <c r="B9" s="16" t="s">
        <v>38</v>
      </c>
      <c r="C9" s="9" t="s">
        <v>33</v>
      </c>
      <c r="D9" s="9" t="s">
        <v>39</v>
      </c>
      <c r="E9" s="10" t="s">
        <v>35</v>
      </c>
      <c r="F9" s="11" t="s">
        <v>36</v>
      </c>
      <c r="G9" s="12" t="s">
        <v>37</v>
      </c>
      <c r="H9" s="17" t="s">
        <v>28</v>
      </c>
      <c r="I9" s="37">
        <f t="shared" si="0"/>
        <v>372.45194444444496</v>
      </c>
      <c r="L9" s="29"/>
      <c r="M9" s="32"/>
      <c r="N9" s="30" t="s">
        <v>64</v>
      </c>
      <c r="O9" s="23" t="s">
        <v>33</v>
      </c>
      <c r="P9" s="24" t="s">
        <v>35</v>
      </c>
      <c r="Q9" s="11" t="s">
        <v>36</v>
      </c>
      <c r="R9" s="12" t="s">
        <v>37</v>
      </c>
      <c r="S9" s="17" t="s">
        <v>28</v>
      </c>
      <c r="T9" s="37">
        <f t="shared" si="1"/>
        <v>372.45194444444496</v>
      </c>
    </row>
    <row r="10" spans="1:20" x14ac:dyDescent="0.35">
      <c r="A10" s="7">
        <f t="shared" si="2"/>
        <v>9</v>
      </c>
      <c r="B10" s="16" t="s">
        <v>40</v>
      </c>
      <c r="C10" s="9" t="s">
        <v>33</v>
      </c>
      <c r="D10" s="9" t="s">
        <v>41</v>
      </c>
      <c r="E10" s="10" t="s">
        <v>35</v>
      </c>
      <c r="F10" s="11" t="s">
        <v>36</v>
      </c>
      <c r="G10" s="12" t="s">
        <v>37</v>
      </c>
      <c r="H10" s="17" t="s">
        <v>28</v>
      </c>
      <c r="I10" s="37">
        <f t="shared" si="0"/>
        <v>372.45194444444496</v>
      </c>
      <c r="L10" s="20">
        <v>3</v>
      </c>
      <c r="M10" s="33" t="s">
        <v>66</v>
      </c>
      <c r="N10" s="22" t="s">
        <v>61</v>
      </c>
      <c r="O10" s="23" t="s">
        <v>33</v>
      </c>
      <c r="P10" s="24" t="s">
        <v>35</v>
      </c>
      <c r="Q10" s="11" t="s">
        <v>36</v>
      </c>
      <c r="R10" s="12" t="s">
        <v>37</v>
      </c>
      <c r="S10" s="17" t="s">
        <v>28</v>
      </c>
      <c r="T10" s="37">
        <f t="shared" si="1"/>
        <v>372.45194444444496</v>
      </c>
    </row>
    <row r="11" spans="1:20" x14ac:dyDescent="0.35">
      <c r="A11" s="7">
        <f t="shared" si="2"/>
        <v>10</v>
      </c>
      <c r="B11" s="16" t="s">
        <v>42</v>
      </c>
      <c r="C11" s="9" t="s">
        <v>43</v>
      </c>
      <c r="D11" s="9" t="s">
        <v>44</v>
      </c>
      <c r="E11" s="10" t="s">
        <v>45</v>
      </c>
      <c r="F11" s="11" t="s">
        <v>46</v>
      </c>
      <c r="G11" s="12" t="s">
        <v>47</v>
      </c>
      <c r="H11" s="17" t="s">
        <v>28</v>
      </c>
      <c r="I11" s="37">
        <f t="shared" si="0"/>
        <v>57.282777777698357</v>
      </c>
      <c r="L11" s="25"/>
      <c r="M11" s="33"/>
      <c r="N11" s="27" t="s">
        <v>62</v>
      </c>
      <c r="O11" s="23" t="s">
        <v>43</v>
      </c>
      <c r="P11" s="24" t="s">
        <v>45</v>
      </c>
      <c r="Q11" s="11" t="s">
        <v>46</v>
      </c>
      <c r="R11" s="12" t="s">
        <v>47</v>
      </c>
      <c r="S11" s="17" t="s">
        <v>28</v>
      </c>
      <c r="T11" s="37">
        <f t="shared" si="1"/>
        <v>57.282777777698357</v>
      </c>
    </row>
    <row r="12" spans="1:20" x14ac:dyDescent="0.35">
      <c r="A12" s="7">
        <f t="shared" si="2"/>
        <v>11</v>
      </c>
      <c r="B12" s="16" t="s">
        <v>48</v>
      </c>
      <c r="C12" s="9" t="s">
        <v>43</v>
      </c>
      <c r="D12" s="9" t="s">
        <v>49</v>
      </c>
      <c r="E12" s="10" t="s">
        <v>45</v>
      </c>
      <c r="F12" s="11" t="s">
        <v>46</v>
      </c>
      <c r="G12" s="12" t="s">
        <v>47</v>
      </c>
      <c r="H12" s="17" t="s">
        <v>28</v>
      </c>
      <c r="I12" s="37">
        <f t="shared" si="0"/>
        <v>57.282777777698357</v>
      </c>
      <c r="L12" s="25"/>
      <c r="M12" s="33"/>
      <c r="N12" s="28" t="s">
        <v>63</v>
      </c>
      <c r="O12" s="23" t="s">
        <v>43</v>
      </c>
      <c r="P12" s="24" t="s">
        <v>45</v>
      </c>
      <c r="Q12" s="11" t="s">
        <v>46</v>
      </c>
      <c r="R12" s="12" t="s">
        <v>47</v>
      </c>
      <c r="S12" s="17" t="s">
        <v>28</v>
      </c>
      <c r="T12" s="37">
        <f t="shared" si="1"/>
        <v>57.282777777698357</v>
      </c>
    </row>
    <row r="13" spans="1:20" ht="14.5" customHeight="1" x14ac:dyDescent="0.35">
      <c r="A13" s="7">
        <f t="shared" si="2"/>
        <v>12</v>
      </c>
      <c r="B13" s="16" t="s">
        <v>50</v>
      </c>
      <c r="C13" s="9" t="s">
        <v>51</v>
      </c>
      <c r="D13" s="9" t="s">
        <v>52</v>
      </c>
      <c r="E13" s="10" t="s">
        <v>53</v>
      </c>
      <c r="F13" s="11" t="s">
        <v>54</v>
      </c>
      <c r="G13" s="12" t="s">
        <v>55</v>
      </c>
      <c r="H13" s="12" t="s">
        <v>25</v>
      </c>
      <c r="I13" s="37">
        <f t="shared" si="0"/>
        <v>61.8397222221829</v>
      </c>
      <c r="L13" s="29"/>
      <c r="M13" s="33"/>
      <c r="N13" s="30" t="s">
        <v>64</v>
      </c>
      <c r="O13" s="23" t="s">
        <v>51</v>
      </c>
      <c r="P13" s="24" t="s">
        <v>53</v>
      </c>
      <c r="Q13" s="11" t="s">
        <v>54</v>
      </c>
      <c r="R13" s="12" t="s">
        <v>55</v>
      </c>
      <c r="S13" s="12" t="s">
        <v>25</v>
      </c>
      <c r="T13" s="37">
        <f t="shared" si="1"/>
        <v>61.8397222221829</v>
      </c>
    </row>
    <row r="14" spans="1:20" ht="14.5" customHeight="1" x14ac:dyDescent="0.35">
      <c r="A14" s="7">
        <f t="shared" si="2"/>
        <v>13</v>
      </c>
      <c r="B14" s="16" t="s">
        <v>56</v>
      </c>
      <c r="C14" s="9" t="s">
        <v>51</v>
      </c>
      <c r="D14" s="9" t="s">
        <v>57</v>
      </c>
      <c r="E14" s="10" t="s">
        <v>53</v>
      </c>
      <c r="F14" s="11" t="s">
        <v>54</v>
      </c>
      <c r="G14" s="12" t="s">
        <v>55</v>
      </c>
      <c r="H14" s="17" t="s">
        <v>28</v>
      </c>
      <c r="I14" s="37">
        <f t="shared" si="0"/>
        <v>61.8397222221829</v>
      </c>
      <c r="L14" s="20">
        <v>3</v>
      </c>
      <c r="M14" s="34" t="s">
        <v>67</v>
      </c>
      <c r="N14" s="22" t="s">
        <v>61</v>
      </c>
      <c r="O14" s="23" t="s">
        <v>51</v>
      </c>
      <c r="P14" s="24" t="s">
        <v>53</v>
      </c>
      <c r="Q14" s="11" t="s">
        <v>54</v>
      </c>
      <c r="R14" s="12" t="s">
        <v>55</v>
      </c>
      <c r="S14" s="11" t="s">
        <v>14</v>
      </c>
      <c r="T14" s="37">
        <f t="shared" si="1"/>
        <v>61.8397222221829</v>
      </c>
    </row>
    <row r="15" spans="1:20" x14ac:dyDescent="0.35">
      <c r="L15" s="25"/>
      <c r="M15" s="34"/>
      <c r="N15" s="27" t="s">
        <v>62</v>
      </c>
      <c r="O15" s="23" t="s">
        <v>68</v>
      </c>
      <c r="P15" s="24" t="s">
        <v>69</v>
      </c>
      <c r="Q15" s="11" t="s">
        <v>70</v>
      </c>
      <c r="R15" s="12" t="s">
        <v>55</v>
      </c>
      <c r="S15" s="17" t="s">
        <v>28</v>
      </c>
      <c r="T15" s="37">
        <f t="shared" si="1"/>
        <v>85.839444444514811</v>
      </c>
    </row>
    <row r="16" spans="1:20" x14ac:dyDescent="0.35">
      <c r="L16" s="25"/>
      <c r="M16" s="34"/>
      <c r="N16" s="35" t="s">
        <v>63</v>
      </c>
      <c r="O16" s="23" t="s">
        <v>71</v>
      </c>
      <c r="P16" s="24" t="s">
        <v>45</v>
      </c>
      <c r="Q16" s="11" t="s">
        <v>72</v>
      </c>
      <c r="R16" s="12" t="s">
        <v>55</v>
      </c>
      <c r="S16" s="11" t="s">
        <v>14</v>
      </c>
      <c r="T16" s="37">
        <f t="shared" si="1"/>
        <v>109.8391666666721</v>
      </c>
    </row>
    <row r="17" spans="12:20" x14ac:dyDescent="0.35">
      <c r="L17" s="29"/>
      <c r="M17" s="36"/>
      <c r="N17" s="30" t="s">
        <v>64</v>
      </c>
      <c r="O17" s="23" t="s">
        <v>73</v>
      </c>
      <c r="P17" s="24" t="s">
        <v>74</v>
      </c>
      <c r="Q17" s="11" t="s">
        <v>75</v>
      </c>
      <c r="R17" s="12" t="s">
        <v>55</v>
      </c>
      <c r="S17" s="11" t="s">
        <v>14</v>
      </c>
      <c r="T17" s="37">
        <f t="shared" si="1"/>
        <v>133.83888888882939</v>
      </c>
    </row>
  </sheetData>
  <mergeCells count="8">
    <mergeCell ref="L14:L17"/>
    <mergeCell ref="M14:M17"/>
    <mergeCell ref="L2:L5"/>
    <mergeCell ref="M2:M5"/>
    <mergeCell ref="L6:L9"/>
    <mergeCell ref="M6:M9"/>
    <mergeCell ref="L10:L13"/>
    <mergeCell ref="M10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LOUDGHIRI</dc:creator>
  <cp:lastModifiedBy>Zakaria LOUDGHIRI</cp:lastModifiedBy>
  <dcterms:created xsi:type="dcterms:W3CDTF">2026-05-21T15:42:37Z</dcterms:created>
  <dcterms:modified xsi:type="dcterms:W3CDTF">2026-05-21T15:52:58Z</dcterms:modified>
</cp:coreProperties>
</file>